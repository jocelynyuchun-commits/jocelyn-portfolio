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-8-2026" sheetId="1" state="visible" r:id="rId3"/>
  </sheets>
  <definedNames>
    <definedName function="false" hidden="true" localSheetId="0" name="_xlnm._FilterDatabase" vbProcedure="false">'4-8-2026'!$A$2:$F$32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<sst xmlns="http://schemas.openxmlformats.org/spreadsheetml/2006/main" count="157" uniqueCount="98">
  <si>
    <t xml:space="preserve">Job Search — April 8, 2026  |  30 Qualifying Roles</t>
  </si>
  <si>
    <t xml:space="preserve">Date</t>
  </si>
  <si>
    <t xml:space="preserve">Job Title</t>
  </si>
  <si>
    <t xml:space="preserve">Company</t>
  </si>
  <si>
    <t xml:space="preserve">Salary Range</t>
  </si>
  <si>
    <t xml:space="preserve">Location</t>
  </si>
  <si>
    <t xml:space="preserve">Apply Link</t>
  </si>
  <si>
    <t xml:space="preserve">4/8</t>
  </si>
  <si>
    <t xml:space="preserve">Cloudflare</t>
  </si>
  <si>
    <t xml:space="preserve">$337,000 – $411,000</t>
  </si>
  <si>
    <t xml:space="preserve">NY / Austin / SF</t>
  </si>
  <si>
    <t xml:space="preserve">https://job-boards.greenhouse.io/cloudflare/jobs/7215812</t>
  </si>
  <si>
    <t xml:space="preserve">Headway</t>
  </si>
  <si>
    <t xml:space="preserve">$255,000 – $300,000</t>
  </si>
  <si>
    <t xml:space="preserve">Remote / NYC</t>
  </si>
  <si>
    <t xml:space="preserve">https://job-boards.greenhouse.io/headway/jobs/5578791004</t>
  </si>
  <si>
    <t xml:space="preserve">$249,600 – $312,000</t>
  </si>
  <si>
    <t xml:space="preserve">NY / SF / Seattle</t>
  </si>
  <si>
    <t xml:space="preserve">https://job-boards.greenhouse.io/headway/jobs/5670918004</t>
  </si>
  <si>
    <t xml:space="preserve">Whatnot</t>
  </si>
  <si>
    <t xml:space="preserve">$280,000 – $320,000</t>
  </si>
  <si>
    <t xml:space="preserve">NYC hub required</t>
  </si>
  <si>
    <t xml:space="preserve">https://jobs.ashbyhq.com/whatnot/93cb7b0c-20ce-4b71-915e-5045af8c5b23</t>
  </si>
  <si>
    <t xml:space="preserve">https://jobs.ashbyhq.com/whatnot/fea54fd5-4713-4964-9799-fe3fcec9932f</t>
  </si>
  <si>
    <t xml:space="preserve">OpenTable</t>
  </si>
  <si>
    <t xml:space="preserve">$220,000 – $275,000</t>
  </si>
  <si>
    <t xml:space="preserve">New York, NY</t>
  </si>
  <si>
    <t xml:space="preserve">https://job-boards.greenhouse.io/opentable/jobs/8465457002</t>
  </si>
  <si>
    <t xml:space="preserve">https://job-boards.greenhouse.io/opentable/jobs/8465454002</t>
  </si>
  <si>
    <t xml:space="preserve">$180,000 – $230,000</t>
  </si>
  <si>
    <t xml:space="preserve">https://job-boards.greenhouse.io/opentable/jobs/8365436002</t>
  </si>
  <si>
    <t xml:space="preserve">Flex (fintech)</t>
  </si>
  <si>
    <t xml:space="preserve">$231,000 – $253,000</t>
  </si>
  <si>
    <t xml:space="preserve">NYC hybrid 3d/wk</t>
  </si>
  <si>
    <t xml:space="preserve">https://job-boards.greenhouse.io/flex/jobs/4594392005</t>
  </si>
  <si>
    <t xml:space="preserve">Gusto</t>
  </si>
  <si>
    <t xml:space="preserve">$202,000 – $253,000</t>
  </si>
  <si>
    <t xml:space="preserve">NYC / Remote</t>
  </si>
  <si>
    <t xml:space="preserve">https://job-boards.greenhouse.io/gusto/jobs/7254336</t>
  </si>
  <si>
    <t xml:space="preserve">Change.org</t>
  </si>
  <si>
    <t xml:space="preserve">$218,000</t>
  </si>
  <si>
    <t xml:space="preserve">Remote (NYC rate)</t>
  </si>
  <si>
    <t xml:space="preserve">https://job-boards.greenhouse.io/changedotorgsourcing/jobs/6684029003</t>
  </si>
  <si>
    <t xml:space="preserve">RapidSOS</t>
  </si>
  <si>
    <t xml:space="preserve">$200,000 – $220,000</t>
  </si>
  <si>
    <t xml:space="preserve">https://job-boards.greenhouse.io/rapidsos/jobs/4626627007</t>
  </si>
  <si>
    <t xml:space="preserve">SoFi</t>
  </si>
  <si>
    <t xml:space="preserve">$185,600 – $319,000</t>
  </si>
  <si>
    <t xml:space="preserve">https://job-boards.greenhouse.io/embed/job_app?for=sofi&amp;token=6541595003</t>
  </si>
  <si>
    <t xml:space="preserve">Taxbit</t>
  </si>
  <si>
    <t xml:space="preserve">$185,000 – $235,000</t>
  </si>
  <si>
    <t xml:space="preserve">NYC / SF / Seattle</t>
  </si>
  <si>
    <t xml:space="preserve">https://job-boards.greenhouse.io/taxbit/jobs/5836545004</t>
  </si>
  <si>
    <t xml:space="preserve">Mercury</t>
  </si>
  <si>
    <t xml:space="preserve">$219,800 – $274,700</t>
  </si>
  <si>
    <t xml:space="preserve">Remote US</t>
  </si>
  <si>
    <t xml:space="preserve">https://job-boards.greenhouse.io/mercury/jobs/5396488004</t>
  </si>
  <si>
    <t xml:space="preserve">$229,000 – $286,000</t>
  </si>
  <si>
    <t xml:space="preserve">Remote</t>
  </si>
  <si>
    <t xml:space="preserve">https://job-boards.greenhouse.io/mercury/jobs/5818177004</t>
  </si>
  <si>
    <t xml:space="preserve">$269,000 – $337,000</t>
  </si>
  <si>
    <t xml:space="preserve">https://job-boards.greenhouse.io/mercury/jobs/5437620004</t>
  </si>
  <si>
    <t xml:space="preserve">$189,000 – $236,200</t>
  </si>
  <si>
    <t xml:space="preserve">https://job-boards.greenhouse.io/mercury/jobs/5843845004</t>
  </si>
  <si>
    <t xml:space="preserve">Discord</t>
  </si>
  <si>
    <t xml:space="preserve">$220,000 – $247,500</t>
  </si>
  <si>
    <t xml:space="preserve">SF / Remote US</t>
  </si>
  <si>
    <t xml:space="preserve">https://job-boards.greenhouse.io/discord/jobs/8401077002</t>
  </si>
  <si>
    <t xml:space="preserve">$272,000 – $306,000</t>
  </si>
  <si>
    <t xml:space="preserve">https://job-boards.greenhouse.io/discord/jobs/8196805002</t>
  </si>
  <si>
    <t xml:space="preserve">Philo</t>
  </si>
  <si>
    <t xml:space="preserve">NY / SF / Cambridge</t>
  </si>
  <si>
    <t xml:space="preserve">https://jobs.philo.com/job/product-design-director</t>
  </si>
  <si>
    <t xml:space="preserve">VTS</t>
  </si>
  <si>
    <t xml:space="preserve">$220,000 – $270,000</t>
  </si>
  <si>
    <t xml:space="preserve">https://job-boards.greenhouse.io/vts/jobs/4612897005</t>
  </si>
  <si>
    <t xml:space="preserve">GlossGenius</t>
  </si>
  <si>
    <t xml:space="preserve">$240,000 – $285,000</t>
  </si>
  <si>
    <t xml:space="preserve">https://job-boards.greenhouse.io/glossgenius/jobs/7643217003</t>
  </si>
  <si>
    <t xml:space="preserve">$220,000 – $260,000</t>
  </si>
  <si>
    <t xml:space="preserve">https://job-boards.greenhouse.io/glossgenius/jobs/7110479003</t>
  </si>
  <si>
    <t xml:space="preserve">Grow Therapy</t>
  </si>
  <si>
    <t xml:space="preserve">$180,000 – $220,000</t>
  </si>
  <si>
    <t xml:space="preserve">https://job-boards.greenhouse.io/growtherapy/jobs/4642676005</t>
  </si>
  <si>
    <t xml:space="preserve">ezCater</t>
  </si>
  <si>
    <t xml:space="preserve">$185,000 – $236,000</t>
  </si>
  <si>
    <t xml:space="preserve">https://job-boards.greenhouse.io/ezcaterinc/jobs/5022786007</t>
  </si>
  <si>
    <t xml:space="preserve">Sigma Computing</t>
  </si>
  <si>
    <t xml:space="preserve">$210,000 – $250,000</t>
  </si>
  <si>
    <t xml:space="preserve">https://job-boards.greenhouse.io/sigmacomputing/jobs/7639841003</t>
  </si>
  <si>
    <t xml:space="preserve">$190,000 – $220,000</t>
  </si>
  <si>
    <t xml:space="preserve">https://job-boards.greenhouse.io/rapidsos/jobs/5054559007</t>
  </si>
  <si>
    <t xml:space="preserve">Coast (fintech)</t>
  </si>
  <si>
    <t xml:space="preserve">$205,000 – $220,000</t>
  </si>
  <si>
    <t xml:space="preserve">https://job-boards.greenhouse.io/coast/jobs/5850295004</t>
  </si>
  <si>
    <t xml:space="preserve">AudioEye</t>
  </si>
  <si>
    <t xml:space="preserve">$180,000 – $200,000</t>
  </si>
  <si>
    <t xml:space="preserve">https://job-boards.greenhouse.io/audioeye/jobs/5837117004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</si>
</sst>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2E"/>
      <name val="Arial"/>
      <family val="0"/>
      <charset val="1"/>
    </font>
    <font>
      <u val="single"/>
      <sz val="10"/>
      <color rgb="FF4F8EF7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sz val="9"/>
      <color rgb="FF88888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F8EF7"/>
        <bgColor rgb="FF9999FF"/>
      </patternFill>
    </fill>
    <fill>
      <patternFill patternType="solid">
        <fgColor rgb="FF1A1A2E"/>
        <bgColor rgb="FF333300"/>
      </patternFill>
    </fill>
    <fill>
      <patternFill patternType="solid">
        <fgColor rgb="FFFFFFFF"/>
        <bgColor rgb="FFEBF2FF"/>
      </patternFill>
    </fill>
    <fill>
      <patternFill patternType="solid">
        <fgColor rgb="FFEBF2F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DDFF"/>
      </left>
      <right style="thin">
        <color rgb="FFCCDDFF"/>
      </right>
      <top style="thin">
        <color rgb="FFCCDDFF"/>
      </top>
      <bottom style="thin">
        <color rgb="FFCCDD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A1A2E"/>
          <bgColor rgb="FF000000"/>
        </patternFill>
      </fill>
    </dxf>
    <dxf>
      <fill>
        <patternFill patternType="solid">
          <fgColor rgb="FFEBF2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F8EF7"/>
          <bgColor rgb="FF000000"/>
        </patternFill>
      </fill>
    </dxf>
    <dxf>
      <fill>
        <patternFill patternType="solid">
          <fgColor rgb="FF27AE60"/>
          <bgColor rgb="FF000000"/>
        </patternFill>
      </fill>
    </dxf>
    <dxf>
      <fill>
        <patternFill patternType="solid">
          <fgColor rgb="FF88888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EBF2FF"/>
      <rgbColor rgb="FF660066"/>
      <rgbColor rgb="FFFF8080"/>
      <rgbColor rgb="FF0066CC"/>
      <rgbColor rgb="FFCCDD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EF7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7AE60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8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6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21.75" hidden="false" customHeight="true" outlineLevel="0" collapsed="false">
      <c r="A3" s="3" t="s">
        <v>7</v>
      </c>
      <c r="B3" s="4" t="str">
        <f aca="false">HYPERLINK("https://job-boards.greenhouse.io/cloudflare/jobs/7215812","VP and Head of Product Design")</f>
        <v>VP and Head of Product Design</v>
      </c>
      <c r="C3" s="5" t="s">
        <v>8</v>
      </c>
      <c r="D3" s="6" t="s">
        <v>9</v>
      </c>
      <c r="E3" s="3" t="s">
        <v>10</v>
      </c>
      <c r="F3" s="7" t="s">
        <v>11</v>
      </c>
    </row>
    <row r="4" customFormat="false" ht="21.75" hidden="false" customHeight="true" outlineLevel="0" collapsed="false">
      <c r="A4" s="8" t="s">
        <v>7</v>
      </c>
      <c r="B4" s="9" t="str">
        <f aca="false">HYPERLINK("https://job-boards.greenhouse.io/headway/jobs/5578791004","Director, Product Design (Provider)")</f>
        <v>Director, Product Design (Provider)</v>
      </c>
      <c r="C4" s="10" t="s">
        <v>12</v>
      </c>
      <c r="D4" s="11" t="s">
        <v>13</v>
      </c>
      <c r="E4" s="8" t="s">
        <v>14</v>
      </c>
      <c r="F4" s="12" t="s">
        <v>15</v>
      </c>
    </row>
    <row r="5" customFormat="false" ht="21.75" hidden="false" customHeight="true" outlineLevel="0" collapsed="false">
      <c r="A5" s="3" t="s">
        <v>7</v>
      </c>
      <c r="B5" s="4" t="str">
        <f aca="false">HYPERLINK("https://job-boards.greenhouse.io/headway/jobs/5670918004","Design Director, Core Insurance &amp; Design Systems")</f>
        <v>Design Director, Core Insurance &amp; Design Systems</v>
      </c>
      <c r="C5" s="5" t="s">
        <v>12</v>
      </c>
      <c r="D5" s="6" t="s">
        <v>16</v>
      </c>
      <c r="E5" s="3" t="s">
        <v>17</v>
      </c>
      <c r="F5" s="7" t="s">
        <v>18</v>
      </c>
    </row>
    <row r="6" customFormat="false" ht="21.75" hidden="false" customHeight="true" outlineLevel="0" collapsed="false">
      <c r="A6" s="8" t="s">
        <v>7</v>
      </c>
      <c r="B6" s="9" t="str">
        <f aca="false">HYPERLINK("https://jobs.ashbyhq.com/whatnot/93cb7b0c-20ce-4b71-915e-5045af8c5b23","Product Design Director, Seller")</f>
        <v>Product Design Director, Seller</v>
      </c>
      <c r="C6" s="10" t="s">
        <v>19</v>
      </c>
      <c r="D6" s="11" t="s">
        <v>20</v>
      </c>
      <c r="E6" s="8" t="s">
        <v>21</v>
      </c>
      <c r="F6" s="12" t="s">
        <v>22</v>
      </c>
    </row>
    <row r="7" customFormat="false" ht="21.75" hidden="false" customHeight="true" outlineLevel="0" collapsed="false">
      <c r="A7" s="3" t="s">
        <v>7</v>
      </c>
      <c r="B7" s="4" t="str">
        <f aca="false">HYPERLINK("https://jobs.ashbyhq.com/whatnot/fea54fd5-4713-4964-9799-fe3fcec9932f","Product Design Director, Buyer")</f>
        <v>Product Design Director, Buyer</v>
      </c>
      <c r="C7" s="5" t="s">
        <v>19</v>
      </c>
      <c r="D7" s="6" t="s">
        <v>20</v>
      </c>
      <c r="E7" s="3" t="s">
        <v>21</v>
      </c>
      <c r="F7" s="7" t="s">
        <v>23</v>
      </c>
    </row>
    <row r="8" customFormat="false" ht="21.75" hidden="false" customHeight="true" outlineLevel="0" collapsed="false">
      <c r="A8" s="8" t="s">
        <v>7</v>
      </c>
      <c r="B8" s="9" t="str">
        <f aca="false">HYPERLINK("https://job-boards.greenhouse.io/opentable/jobs/8465457002","Director, Product Design – HRP")</f>
        <v>Director, Product Design – HRP</v>
      </c>
      <c r="C8" s="10" t="s">
        <v>24</v>
      </c>
      <c r="D8" s="11" t="s">
        <v>25</v>
      </c>
      <c r="E8" s="8" t="s">
        <v>26</v>
      </c>
      <c r="F8" s="12" t="s">
        <v>27</v>
      </c>
    </row>
    <row r="9" customFormat="false" ht="21.75" hidden="false" customHeight="true" outlineLevel="0" collapsed="false">
      <c r="A9" s="3" t="s">
        <v>7</v>
      </c>
      <c r="B9" s="4" t="str">
        <f aca="false">HYPERLINK("https://job-boards.greenhouse.io/opentable/jobs/8465454002","Director, Product Design – Diner")</f>
        <v>Director, Product Design – Diner</v>
      </c>
      <c r="C9" s="5" t="s">
        <v>24</v>
      </c>
      <c r="D9" s="6" t="s">
        <v>25</v>
      </c>
      <c r="E9" s="3" t="s">
        <v>26</v>
      </c>
      <c r="F9" s="7" t="s">
        <v>28</v>
      </c>
    </row>
    <row r="10" customFormat="false" ht="21.75" hidden="false" customHeight="true" outlineLevel="0" collapsed="false">
      <c r="A10" s="8" t="s">
        <v>7</v>
      </c>
      <c r="B10" s="9" t="str">
        <f aca="false">HYPERLINK("https://job-boards.greenhouse.io/opentable/jobs/8365436002","Director, Product Design – TMS &amp; Private Dining")</f>
        <v>Director, Product Design – TMS &amp; Private Dining</v>
      </c>
      <c r="C10" s="10" t="s">
        <v>24</v>
      </c>
      <c r="D10" s="11" t="s">
        <v>29</v>
      </c>
      <c r="E10" s="8" t="s">
        <v>26</v>
      </c>
      <c r="F10" s="12" t="s">
        <v>30</v>
      </c>
    </row>
    <row r="11" customFormat="false" ht="21.75" hidden="false" customHeight="true" outlineLevel="0" collapsed="false">
      <c r="A11" s="3" t="s">
        <v>7</v>
      </c>
      <c r="B11" s="4" t="str">
        <f aca="false">HYPERLINK("https://job-boards.greenhouse.io/flex/jobs/4594392005","Director of Product Design")</f>
        <v>Director of Product Design</v>
      </c>
      <c r="C11" s="5" t="s">
        <v>31</v>
      </c>
      <c r="D11" s="6" t="s">
        <v>32</v>
      </c>
      <c r="E11" s="3" t="s">
        <v>33</v>
      </c>
      <c r="F11" s="7" t="s">
        <v>34</v>
      </c>
    </row>
    <row r="12" customFormat="false" ht="21.75" hidden="false" customHeight="true" outlineLevel="0" collapsed="false">
      <c r="A12" s="8" t="s">
        <v>7</v>
      </c>
      <c r="B12" s="9" t="str">
        <f aca="false">HYPERLINK("https://job-boards.greenhouse.io/gusto/jobs/7254336","Senior Product Design Manager, Payroll")</f>
        <v>Senior Product Design Manager, Payroll</v>
      </c>
      <c r="C12" s="10" t="s">
        <v>35</v>
      </c>
      <c r="D12" s="11" t="s">
        <v>36</v>
      </c>
      <c r="E12" s="8" t="s">
        <v>37</v>
      </c>
      <c r="F12" s="12" t="s">
        <v>38</v>
      </c>
    </row>
    <row r="13" customFormat="false" ht="21.75" hidden="false" customHeight="true" outlineLevel="0" collapsed="false">
      <c r="A13" s="3" t="s">
        <v>7</v>
      </c>
      <c r="B13" s="4" t="str">
        <f aca="false">HYPERLINK("https://job-boards.greenhouse.io/changedotorgsourcing/jobs/6684029003","Lead Product Designer")</f>
        <v>Lead Product Designer</v>
      </c>
      <c r="C13" s="5" t="s">
        <v>39</v>
      </c>
      <c r="D13" s="6" t="s">
        <v>40</v>
      </c>
      <c r="E13" s="3" t="s">
        <v>41</v>
      </c>
      <c r="F13" s="7" t="s">
        <v>42</v>
      </c>
    </row>
    <row r="14" customFormat="false" ht="21.75" hidden="false" customHeight="true" outlineLevel="0" collapsed="false">
      <c r="A14" s="8" t="s">
        <v>7</v>
      </c>
      <c r="B14" s="9" t="str">
        <f aca="false">HYPERLINK("https://job-boards.greenhouse.io/rapidsos/jobs/4626627007","Director, Product Design &amp; User Research")</f>
        <v>Director, Product Design &amp; User Research</v>
      </c>
      <c r="C14" s="10" t="s">
        <v>43</v>
      </c>
      <c r="D14" s="11" t="s">
        <v>44</v>
      </c>
      <c r="E14" s="8" t="s">
        <v>37</v>
      </c>
      <c r="F14" s="12" t="s">
        <v>45</v>
      </c>
    </row>
    <row r="15" customFormat="false" ht="21.75" hidden="false" customHeight="true" outlineLevel="0" collapsed="false">
      <c r="A15" s="3" t="s">
        <v>7</v>
      </c>
      <c r="B15" s="4" t="str">
        <f aca="false">HYPERLINK("https://job-boards.greenhouse.io/embed/job_app?for=sofi&amp;token=6541595003","Director, Product Design, Invest")</f>
        <v>Director, Product Design, Invest</v>
      </c>
      <c r="C15" s="5" t="s">
        <v>46</v>
      </c>
      <c r="D15" s="6" t="s">
        <v>47</v>
      </c>
      <c r="E15" s="3" t="s">
        <v>26</v>
      </c>
      <c r="F15" s="7" t="s">
        <v>48</v>
      </c>
    </row>
    <row r="16" customFormat="false" ht="21.75" hidden="false" customHeight="true" outlineLevel="0" collapsed="false">
      <c r="A16" s="8" t="s">
        <v>7</v>
      </c>
      <c r="B16" s="9" t="str">
        <f aca="false">HYPERLINK("https://job-boards.greenhouse.io/taxbit/jobs/5836545004","Principal Product Designer")</f>
        <v>Principal Product Designer</v>
      </c>
      <c r="C16" s="10" t="s">
        <v>49</v>
      </c>
      <c r="D16" s="11" t="s">
        <v>50</v>
      </c>
      <c r="E16" s="8" t="s">
        <v>51</v>
      </c>
      <c r="F16" s="12" t="s">
        <v>52</v>
      </c>
    </row>
    <row r="17" customFormat="false" ht="21.75" hidden="false" customHeight="true" outlineLevel="0" collapsed="false">
      <c r="A17" s="3" t="s">
        <v>7</v>
      </c>
      <c r="B17" s="4" t="str">
        <f aca="false">HYPERLINK("https://job-boards.greenhouse.io/mercury/jobs/5396488004","Staff Product Designer – Banking Experience")</f>
        <v>Staff Product Designer – Banking Experience</v>
      </c>
      <c r="C17" s="5" t="s">
        <v>53</v>
      </c>
      <c r="D17" s="6" t="s">
        <v>54</v>
      </c>
      <c r="E17" s="3" t="s">
        <v>55</v>
      </c>
      <c r="F17" s="7" t="s">
        <v>56</v>
      </c>
    </row>
    <row r="18" customFormat="false" ht="21.75" hidden="false" customHeight="true" outlineLevel="0" collapsed="false">
      <c r="A18" s="8" t="s">
        <v>7</v>
      </c>
      <c r="B18" s="9" t="str">
        <f aca="false">HYPERLINK("https://job-boards.greenhouse.io/mercury/jobs/5818177004","Staff Product Designer – AI Accounting Systems")</f>
        <v>Staff Product Designer – AI Accounting Systems</v>
      </c>
      <c r="C18" s="10" t="s">
        <v>53</v>
      </c>
      <c r="D18" s="11" t="s">
        <v>57</v>
      </c>
      <c r="E18" s="8" t="s">
        <v>58</v>
      </c>
      <c r="F18" s="12" t="s">
        <v>59</v>
      </c>
    </row>
    <row r="19" customFormat="false" ht="21.75" hidden="false" customHeight="true" outlineLevel="0" collapsed="false">
      <c r="A19" s="3" t="s">
        <v>7</v>
      </c>
      <c r="B19" s="4" t="str">
        <f aca="false">HYPERLINK("https://job-boards.greenhouse.io/mercury/jobs/5437620004","Principal Product Designer, Experiences")</f>
        <v>Principal Product Designer, Experiences</v>
      </c>
      <c r="C19" s="5" t="s">
        <v>53</v>
      </c>
      <c r="D19" s="6" t="s">
        <v>60</v>
      </c>
      <c r="E19" s="3" t="s">
        <v>58</v>
      </c>
      <c r="F19" s="7" t="s">
        <v>61</v>
      </c>
    </row>
    <row r="20" customFormat="false" ht="21.75" hidden="false" customHeight="true" outlineLevel="0" collapsed="false">
      <c r="A20" s="8" t="s">
        <v>7</v>
      </c>
      <c r="B20" s="9" t="str">
        <f aca="false">HYPERLINK("https://job-boards.greenhouse.io/mercury/jobs/5843845004","Senior Product Designer, Mobile")</f>
        <v>Senior Product Designer, Mobile</v>
      </c>
      <c r="C20" s="10" t="s">
        <v>53</v>
      </c>
      <c r="D20" s="11" t="s">
        <v>62</v>
      </c>
      <c r="E20" s="8" t="s">
        <v>58</v>
      </c>
      <c r="F20" s="12" t="s">
        <v>63</v>
      </c>
    </row>
    <row r="21" customFormat="false" ht="21.75" hidden="false" customHeight="true" outlineLevel="0" collapsed="false">
      <c r="A21" s="3" t="s">
        <v>7</v>
      </c>
      <c r="B21" s="4" t="str">
        <f aca="false">HYPERLINK("https://job-boards.greenhouse.io/discord/jobs/8401077002","Product Design Manager, Engagement")</f>
        <v>Product Design Manager, Engagement</v>
      </c>
      <c r="C21" s="5" t="s">
        <v>64</v>
      </c>
      <c r="D21" s="6" t="s">
        <v>65</v>
      </c>
      <c r="E21" s="3" t="s">
        <v>66</v>
      </c>
      <c r="F21" s="7" t="s">
        <v>67</v>
      </c>
    </row>
    <row r="22" customFormat="false" ht="21.75" hidden="false" customHeight="true" outlineLevel="0" collapsed="false">
      <c r="A22" s="8" t="s">
        <v>7</v>
      </c>
      <c r="B22" s="9" t="str">
        <f aca="false">HYPERLINK("https://job-boards.greenhouse.io/discord/jobs/8196805002","Senior Product Design Manager, Growth &amp; Safety")</f>
        <v>Senior Product Design Manager, Growth &amp; Safety</v>
      </c>
      <c r="C22" s="10" t="s">
        <v>64</v>
      </c>
      <c r="D22" s="11" t="s">
        <v>68</v>
      </c>
      <c r="E22" s="8" t="s">
        <v>66</v>
      </c>
      <c r="F22" s="12" t="s">
        <v>69</v>
      </c>
    </row>
    <row r="23" customFormat="false" ht="21.75" hidden="false" customHeight="true" outlineLevel="0" collapsed="false">
      <c r="A23" s="3" t="s">
        <v>7</v>
      </c>
      <c r="B23" s="4" t="str">
        <f aca="false">HYPERLINK("https://jobs.philo.com/job/product-design-director","Product Design Director")</f>
        <v>Product Design Director</v>
      </c>
      <c r="C23" s="5" t="s">
        <v>70</v>
      </c>
      <c r="D23" s="6" t="s">
        <v>29</v>
      </c>
      <c r="E23" s="3" t="s">
        <v>71</v>
      </c>
      <c r="F23" s="7" t="s">
        <v>72</v>
      </c>
    </row>
    <row r="24" customFormat="false" ht="21.75" hidden="false" customHeight="true" outlineLevel="0" collapsed="false">
      <c r="A24" s="8" t="s">
        <v>7</v>
      </c>
      <c r="B24" s="9" t="str">
        <f aca="false">HYPERLINK("https://job-boards.greenhouse.io/vts/jobs/4612897005","Director of Design")</f>
        <v>Director of Design</v>
      </c>
      <c r="C24" s="10" t="s">
        <v>73</v>
      </c>
      <c r="D24" s="11" t="s">
        <v>74</v>
      </c>
      <c r="E24" s="8" t="s">
        <v>26</v>
      </c>
      <c r="F24" s="12" t="s">
        <v>75</v>
      </c>
    </row>
    <row r="25" customFormat="false" ht="21.75" hidden="false" customHeight="true" outlineLevel="0" collapsed="false">
      <c r="A25" s="3" t="s">
        <v>7</v>
      </c>
      <c r="B25" s="4" t="str">
        <f aca="false">HYPERLINK("https://job-boards.greenhouse.io/glossgenius/jobs/7643217003","Director of Product Design")</f>
        <v>Director of Product Design</v>
      </c>
      <c r="C25" s="5" t="s">
        <v>76</v>
      </c>
      <c r="D25" s="6" t="s">
        <v>77</v>
      </c>
      <c r="E25" s="3" t="s">
        <v>26</v>
      </c>
      <c r="F25" s="7" t="s">
        <v>78</v>
      </c>
    </row>
    <row r="26" customFormat="false" ht="21.75" hidden="false" customHeight="true" outlineLevel="0" collapsed="false">
      <c r="A26" s="8" t="s">
        <v>7</v>
      </c>
      <c r="B26" s="9" t="str">
        <f aca="false">HYPERLINK("https://job-boards.greenhouse.io/glossgenius/jobs/7110479003","Senior Manager, Product Design")</f>
        <v>Senior Manager, Product Design</v>
      </c>
      <c r="C26" s="10" t="s">
        <v>76</v>
      </c>
      <c r="D26" s="11" t="s">
        <v>79</v>
      </c>
      <c r="E26" s="8" t="s">
        <v>26</v>
      </c>
      <c r="F26" s="12" t="s">
        <v>80</v>
      </c>
    </row>
    <row r="27" customFormat="false" ht="21.75" hidden="false" customHeight="true" outlineLevel="0" collapsed="false">
      <c r="A27" s="3" t="s">
        <v>7</v>
      </c>
      <c r="B27" s="4" t="str">
        <f aca="false">HYPERLINK("https://job-boards.greenhouse.io/growtherapy/jobs/4642676005","Design Director, Marketing")</f>
        <v>Design Director, Marketing</v>
      </c>
      <c r="C27" s="5" t="s">
        <v>81</v>
      </c>
      <c r="D27" s="6" t="s">
        <v>82</v>
      </c>
      <c r="E27" s="3" t="s">
        <v>33</v>
      </c>
      <c r="F27" s="7" t="s">
        <v>83</v>
      </c>
    </row>
    <row r="28" customFormat="false" ht="21.75" hidden="false" customHeight="true" outlineLevel="0" collapsed="false">
      <c r="A28" s="8" t="s">
        <v>7</v>
      </c>
      <c r="B28" s="9" t="str">
        <f aca="false">HYPERLINK("https://job-boards.greenhouse.io/ezcaterinc/jobs/5022786007","Senior Product Design Manager, Supply")</f>
        <v>Senior Product Design Manager, Supply</v>
      </c>
      <c r="C28" s="10" t="s">
        <v>84</v>
      </c>
      <c r="D28" s="11" t="s">
        <v>85</v>
      </c>
      <c r="E28" s="8" t="s">
        <v>58</v>
      </c>
      <c r="F28" s="12" t="s">
        <v>86</v>
      </c>
    </row>
    <row r="29" customFormat="false" ht="21.75" hidden="false" customHeight="true" outlineLevel="0" collapsed="false">
      <c r="A29" s="3" t="s">
        <v>7</v>
      </c>
      <c r="B29" s="4" t="str">
        <f aca="false">HYPERLINK("https://job-boards.greenhouse.io/sigmacomputing/jobs/7639841003","Staff Product Designer")</f>
        <v>Staff Product Designer</v>
      </c>
      <c r="C29" s="5" t="s">
        <v>87</v>
      </c>
      <c r="D29" s="6" t="s">
        <v>88</v>
      </c>
      <c r="E29" s="3" t="s">
        <v>58</v>
      </c>
      <c r="F29" s="7" t="s">
        <v>89</v>
      </c>
    </row>
    <row r="30" customFormat="false" ht="21.75" hidden="false" customHeight="true" outlineLevel="0" collapsed="false">
      <c r="A30" s="8" t="s">
        <v>7</v>
      </c>
      <c r="B30" s="9" t="str">
        <f aca="false">HYPERLINK("https://job-boards.greenhouse.io/rapidsos/jobs/5054559007","Staff Product Designer")</f>
        <v>Staff Product Designer</v>
      </c>
      <c r="C30" s="10" t="s">
        <v>43</v>
      </c>
      <c r="D30" s="11" t="s">
        <v>90</v>
      </c>
      <c r="E30" s="8" t="s">
        <v>58</v>
      </c>
      <c r="F30" s="12" t="s">
        <v>91</v>
      </c>
    </row>
    <row r="31" customFormat="false" ht="21.75" hidden="false" customHeight="true" outlineLevel="0" collapsed="false">
      <c r="A31" s="3" t="s">
        <v>7</v>
      </c>
      <c r="B31" s="4" t="str">
        <f aca="false">HYPERLINK("https://job-boards.greenhouse.io/coast/jobs/5850295004","Senior / Staff Product Designer")</f>
        <v>Senior / Staff Product Designer</v>
      </c>
      <c r="C31" s="5" t="s">
        <v>92</v>
      </c>
      <c r="D31" s="6" t="s">
        <v>93</v>
      </c>
      <c r="E31" s="3" t="s">
        <v>58</v>
      </c>
      <c r="F31" s="7" t="s">
        <v>94</v>
      </c>
    </row>
    <row r="32" customFormat="false" ht="21.75" hidden="false" customHeight="true" outlineLevel="0" collapsed="false">
      <c r="A32" s="8" t="s">
        <v>7</v>
      </c>
      <c r="B32" s="9" t="str">
        <f aca="false">HYPERLINK("https://job-boards.greenhouse.io/audioeye/jobs/5837117004","Senior Staff Product Designer")</f>
        <v>Senior Staff Product Designer</v>
      </c>
      <c r="C32" s="10" t="s">
        <v>95</v>
      </c>
      <c r="D32" s="11" t="s">
        <v>96</v>
      </c>
      <c r="E32" s="8" t="s">
        <v>55</v>
      </c>
      <c r="F32" s="12" t="s">
        <v>97</v>
      </c>
    </row>
  </sheetData>
  <autoFilter ref="A2:F32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2026-04-08T12:03:01Z</dcterms:created>
  <dc:creator>openpyxl</dc:creator>
  <dc:description/>
  <dc:language>en-US</dc:language>
  <cp:lastModifiedBy/>
  <dcterms:modified xsi:type="dcterms:W3CDTF">2026-04-08T12:03:01Z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